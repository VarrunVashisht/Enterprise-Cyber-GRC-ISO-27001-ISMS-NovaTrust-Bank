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36" windowHeight="8019"/>
  </bookViews>
  <sheets>
    <sheet name="Risk Assessment" sheetId="1" r:id="rId1"/>
    <sheet name="Risk Heat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<sst xmlns="http://schemas.openxmlformats.org/spreadsheetml/2006/main" count="53" uniqueCount="31">
  <si>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Risk ID</t>
  </si>
  <si>
    <t>Risk Description</t>
  </si>
  <si>
    <t>Likelihood</t>
  </si>
  <si>
    <t>Impact</t>
  </si>
  <si>
    <t>Risk Score</t>
  </si>
  <si>
    <t>RiskLevel</t>
  </si>
  <si>
    <t>CR-01</t>
  </si>
  <si>
    <t>Ransomware attack</t>
  </si>
  <si>
    <t>CR-02</t>
  </si>
  <si>
    <t>Phishing credential compromise</t>
  </si>
  <si>
    <t>CR-03</t>
  </si>
  <si>
    <t>Cloud misconfiguration</t>
  </si>
  <si>
    <t>CR-04</t>
  </si>
  <si>
    <t>Insider misuse</t>
  </si>
  <si>
    <t>CR-05</t>
  </si>
  <si>
    <t>Third-party compromise</t>
  </si>
  <si>
    <t>CR-06</t>
  </si>
  <si>
    <t>DDoS attack</t>
  </si>
  <si>
    <t>CR-07</t>
  </si>
  <si>
    <t>Payment fraud</t>
  </si>
  <si>
    <t>CR-08</t>
  </si>
  <si>
    <t>API vulnerability</t>
  </si>
  <si>
    <t>CR-09</t>
  </si>
  <si>
    <t>Malware infection</t>
  </si>
  <si>
    <t>CR-10</t>
  </si>
  <si>
    <t>Data leakage</t>
  </si>
  <si>
    <t>Impact/Likelihood</t>
  </si>
  <si>
    <t>Impact \ Likelihood</t>
  </si>
  <si>
    <t/>
  </si>
  <si>
    <t>CR-01, CR-03, CR-04, CR-07</t>
  </si>
  <si>
    <t>CR-08, CR-10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</si>
</sst>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;;;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176" fontId="0" fillId="0" borderId="1" xfId="0" applyNumberFormat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F3E4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25" sqref="B25"/>
    </sheetView>
  </sheetViews>
  <sheetFormatPr defaultColWidth="8.79279279279279" defaultRowHeight="14.4" outlineLevelCol="5"/>
  <cols>
    <col min="1" max="1" width="9.67567567567568" customWidth="1"/>
    <col min="2" max="2" width="31.3333333333333" customWidth="1"/>
    <col min="3" max="3" width="9.37837837837838" customWidth="1"/>
    <col min="4" max="4" width="11.6666666666667" customWidth="1"/>
    <col min="5" max="5" width="12.7657657657658" customWidth="1"/>
    <col min="6" max="6" width="11.8648648648649" customWidth="1"/>
    <col min="8" max="8" width="16.2612612612613" customWidth="1"/>
  </cols>
  <sheetData>
    <row r="1" s="7" customFormat="1" ht="14" customHeight="1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</row>
    <row r="2" spans="1:6">
      <c r="A2" s="11" t="s">
        <v>6</v>
      </c>
      <c r="B2" s="11" t="s">
        <v>7</v>
      </c>
      <c r="C2" s="11">
        <v>4.5</v>
      </c>
      <c r="D2" s="11">
        <v>5</v>
      </c>
      <c r="E2">
        <f>C2*D2</f>
        <v>22.5</v>
      </c>
      <c r="F2" t="str">
        <f>IF(E2&lt;=5,"Low",IF(E2&lt;=10,"Medium",IF(E2&lt;=15,"High","Critical")))</f>
        <v>Critical</v>
      </c>
    </row>
    <row r="3" ht="17" customHeight="1" spans="1:6">
      <c r="A3" s="11" t="s">
        <v>8</v>
      </c>
      <c r="B3" s="11" t="s">
        <v>9</v>
      </c>
      <c r="C3" s="11">
        <v>5</v>
      </c>
      <c r="D3" s="11">
        <v>4</v>
      </c>
      <c r="E3">
        <f t="shared" ref="E3:E11" si="0">C3*D3</f>
        <v>20</v>
      </c>
      <c r="F3" t="str">
        <f t="shared" ref="F3:F11" si="1">IF(E3&lt;=5,"Low",IF(E3&lt;=10,"Medium",IF(E3&lt;=15,"High","Critical")))</f>
        <v>Critical</v>
      </c>
    </row>
    <row r="4" spans="1:6">
      <c r="A4" s="11" t="s">
        <v>10</v>
      </c>
      <c r="B4" s="11" t="s">
        <v>11</v>
      </c>
      <c r="C4" s="11">
        <v>3.6</v>
      </c>
      <c r="D4" s="11">
        <v>5</v>
      </c>
      <c r="E4">
        <f t="shared" si="0"/>
        <v>18</v>
      </c>
      <c r="F4" t="str">
        <f t="shared" si="1"/>
        <v>Critical</v>
      </c>
    </row>
    <row r="5" spans="1:6">
      <c r="A5" s="11" t="s">
        <v>12</v>
      </c>
      <c r="B5" s="11" t="s">
        <v>13</v>
      </c>
      <c r="C5" s="11">
        <v>3.6</v>
      </c>
      <c r="D5" s="11">
        <v>5</v>
      </c>
      <c r="E5">
        <f t="shared" si="0"/>
        <v>18</v>
      </c>
      <c r="F5" t="str">
        <f t="shared" si="1"/>
        <v>Critical</v>
      </c>
    </row>
    <row r="6" ht="18" customHeight="1" spans="1:6">
      <c r="A6" s="11" t="s">
        <v>14</v>
      </c>
      <c r="B6" s="11" t="s">
        <v>15</v>
      </c>
      <c r="C6" s="11">
        <v>3.4</v>
      </c>
      <c r="D6" s="11">
        <v>5</v>
      </c>
      <c r="E6">
        <f t="shared" si="0"/>
        <v>17</v>
      </c>
      <c r="F6" t="str">
        <f t="shared" si="1"/>
        <v>Critical</v>
      </c>
    </row>
    <row r="7" spans="1:6">
      <c r="A7" s="11" t="s">
        <v>16</v>
      </c>
      <c r="B7" s="11" t="s">
        <v>17</v>
      </c>
      <c r="C7" s="11">
        <v>4.4</v>
      </c>
      <c r="D7" s="11">
        <v>4</v>
      </c>
      <c r="E7">
        <f t="shared" si="0"/>
        <v>17.6</v>
      </c>
      <c r="F7" t="str">
        <f t="shared" si="1"/>
        <v>Critical</v>
      </c>
    </row>
    <row r="8" spans="1:6">
      <c r="A8" s="11" t="s">
        <v>18</v>
      </c>
      <c r="B8" s="11" t="s">
        <v>19</v>
      </c>
      <c r="C8" s="11">
        <v>4.3</v>
      </c>
      <c r="D8" s="11">
        <v>5</v>
      </c>
      <c r="E8">
        <f t="shared" si="0"/>
        <v>21.5</v>
      </c>
      <c r="F8" t="str">
        <f t="shared" si="1"/>
        <v>Critical</v>
      </c>
    </row>
    <row r="9" spans="1:6">
      <c r="A9" s="11" t="s">
        <v>20</v>
      </c>
      <c r="B9" s="11" t="s">
        <v>21</v>
      </c>
      <c r="C9" s="11">
        <v>3.2</v>
      </c>
      <c r="D9" s="11">
        <v>4</v>
      </c>
      <c r="E9">
        <f t="shared" si="0"/>
        <v>12.8</v>
      </c>
      <c r="F9" t="str">
        <f t="shared" si="1"/>
        <v>High</v>
      </c>
    </row>
    <row r="10" spans="1:6">
      <c r="A10" s="11" t="s">
        <v>22</v>
      </c>
      <c r="B10" s="11" t="s">
        <v>23</v>
      </c>
      <c r="C10" s="11">
        <v>4.1</v>
      </c>
      <c r="D10" s="11">
        <v>3</v>
      </c>
      <c r="E10">
        <f t="shared" si="0"/>
        <v>12.3</v>
      </c>
      <c r="F10" t="str">
        <f t="shared" si="1"/>
        <v>High</v>
      </c>
    </row>
    <row r="11" spans="1:6">
      <c r="A11" s="11" t="s">
        <v>24</v>
      </c>
      <c r="B11" s="11" t="s">
        <v>25</v>
      </c>
      <c r="C11" s="11">
        <v>3</v>
      </c>
      <c r="D11" s="11">
        <v>4</v>
      </c>
      <c r="E11">
        <f t="shared" si="0"/>
        <v>12</v>
      </c>
      <c r="F11" t="str">
        <f t="shared" si="1"/>
        <v>High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5" zoomScaleNormal="85" topLeftCell="A2" workbookViewId="0">
      <selection activeCell="A10" sqref="A10:F15"/>
    </sheetView>
  </sheetViews>
  <sheetFormatPr defaultColWidth="8.79279279279279" defaultRowHeight="14.4" outlineLevelCol="5"/>
  <cols>
    <col min="1" max="1" width="18.3513513513514" customWidth="1"/>
    <col min="2" max="6" width="29.6396396396396" customWidth="1"/>
  </cols>
  <sheetData>
    <row r="1" ht="25" customHeight="1" spans="1:6">
      <c r="A1" s="1" t="s">
        <v>26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ht="60" customHeight="1" spans="1:6">
      <c r="A2" s="3">
        <v>5</v>
      </c>
      <c r="B2" s="4">
        <f>$A2*B$1</f>
        <v>5</v>
      </c>
      <c r="C2" s="4">
        <f>$A2*C$1</f>
        <v>10</v>
      </c>
      <c r="D2" s="4">
        <f>$A2*D$1</f>
        <v>15</v>
      </c>
      <c r="E2" s="4">
        <f>$A2*E$1</f>
        <v>20</v>
      </c>
      <c r="F2" s="4">
        <f>$A2*F$1</f>
        <v>25</v>
      </c>
    </row>
    <row r="3" ht="60" customHeight="1" spans="1:6">
      <c r="A3" s="3">
        <v>4</v>
      </c>
      <c r="B3" s="4">
        <f>$A3*B$1</f>
        <v>4</v>
      </c>
      <c r="C3" s="4">
        <f>$A3*C$1</f>
        <v>8</v>
      </c>
      <c r="D3" s="4">
        <f>$A3*D$1</f>
        <v>12</v>
      </c>
      <c r="E3" s="4">
        <f>$A3*E$1</f>
        <v>16</v>
      </c>
      <c r="F3" s="4">
        <f>$A3*F$1</f>
        <v>20</v>
      </c>
    </row>
    <row r="4" ht="60" customHeight="1" spans="1:6">
      <c r="A4" s="3">
        <v>3</v>
      </c>
      <c r="B4" s="4">
        <f>$A4*B$1</f>
        <v>3</v>
      </c>
      <c r="C4" s="4">
        <f>$A4*C$1</f>
        <v>6</v>
      </c>
      <c r="D4" s="4">
        <f>$A4*D$1</f>
        <v>9</v>
      </c>
      <c r="E4" s="4">
        <f>$A4*E$1</f>
        <v>12</v>
      </c>
      <c r="F4" s="4">
        <f>$A4*F$1</f>
        <v>15</v>
      </c>
    </row>
    <row r="5" ht="60" customHeight="1" spans="1:6">
      <c r="A5" s="3">
        <v>2</v>
      </c>
      <c r="B5" s="4">
        <f>$A5*B$1</f>
        <v>2</v>
      </c>
      <c r="C5" s="4">
        <f>$A5*C$1</f>
        <v>4</v>
      </c>
      <c r="D5" s="4">
        <f>$A5*D$1</f>
        <v>6</v>
      </c>
      <c r="E5" s="4">
        <f>$A5*E$1</f>
        <v>8</v>
      </c>
      <c r="F5" s="4">
        <f>$A5*F$1</f>
        <v>10</v>
      </c>
    </row>
    <row r="6" ht="60" customHeight="1" spans="1:6">
      <c r="A6" s="3">
        <v>1</v>
      </c>
      <c r="B6" s="4">
        <f>$A6*B$1</f>
        <v>1</v>
      </c>
      <c r="C6" s="4">
        <f>$A6*C$1</f>
        <v>2</v>
      </c>
      <c r="D6" s="4">
        <f>$A6*D$1</f>
        <v>3</v>
      </c>
      <c r="E6" s="4">
        <f>$A6*E$1</f>
        <v>4</v>
      </c>
      <c r="F6" s="4">
        <f>$A6*F$1</f>
        <v>5</v>
      </c>
    </row>
    <row r="10" spans="1:6">
      <c r="A10" s="5" t="s">
        <v>27</v>
      </c>
      <c r="B10" s="5">
        <v>1</v>
      </c>
      <c r="C10" s="5">
        <v>2</v>
      </c>
      <c r="D10" s="5">
        <v>3</v>
      </c>
      <c r="E10" s="5">
        <v>4</v>
      </c>
      <c r="F10" s="5">
        <v>5</v>
      </c>
    </row>
    <row r="11" spans="1:6">
      <c r="A11" s="5">
        <v>5</v>
      </c>
      <c r="B11" s="6" t="s">
        <v>28</v>
      </c>
      <c r="C11" s="6" t="s">
        <v>28</v>
      </c>
      <c r="D11" s="6" t="s">
        <v>14</v>
      </c>
      <c r="E11" s="6" t="s">
        <v>29</v>
      </c>
      <c r="F11" s="6" t="s">
        <v>28</v>
      </c>
    </row>
    <row r="12" spans="1:6">
      <c r="A12" s="5">
        <v>4</v>
      </c>
      <c r="B12" s="6" t="s">
        <v>28</v>
      </c>
      <c r="C12" s="6" t="s">
        <v>28</v>
      </c>
      <c r="D12" s="6" t="s">
        <v>30</v>
      </c>
      <c r="E12" s="6" t="s">
        <v>16</v>
      </c>
      <c r="F12" s="6" t="s">
        <v>8</v>
      </c>
    </row>
    <row r="13" spans="1:6">
      <c r="A13" s="5">
        <v>3</v>
      </c>
      <c r="B13" s="6" t="s">
        <v>28</v>
      </c>
      <c r="C13" s="6" t="s">
        <v>28</v>
      </c>
      <c r="D13" s="6" t="s">
        <v>28</v>
      </c>
      <c r="E13" s="6" t="s">
        <v>22</v>
      </c>
      <c r="F13" s="6" t="s">
        <v>28</v>
      </c>
    </row>
    <row r="14" spans="1:6">
      <c r="A14" s="5">
        <v>2</v>
      </c>
      <c r="B14" s="6" t="s">
        <v>28</v>
      </c>
      <c r="C14" s="6" t="s">
        <v>28</v>
      </c>
      <c r="D14" s="6" t="s">
        <v>28</v>
      </c>
      <c r="E14" s="6" t="s">
        <v>28</v>
      </c>
      <c r="F14" s="6" t="s">
        <v>28</v>
      </c>
    </row>
    <row r="15" spans="1:6">
      <c r="A15" s="5">
        <v>1</v>
      </c>
      <c r="B15" s="6" t="s">
        <v>28</v>
      </c>
      <c r="C15" s="6" t="s">
        <v>28</v>
      </c>
      <c r="D15" s="6" t="s">
        <v>28</v>
      </c>
      <c r="E15" s="6" t="s">
        <v>28</v>
      </c>
      <c r="F15" s="6" t="s">
        <v>28</v>
      </c>
    </row>
  </sheetData>
  <conditionalFormatting sqref="B2:F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40"/>
        <cfvo type="max"/>
        <color theme="9" tint="-0.25"/>
        <color rgb="FFFFEB84"/>
        <color rgb="FFFF0000"/>
      </colorScale>
    </cfRule>
  </conditionalFormatting>
  <conditionalFormatting sqref="B11:F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Risk Assessment</vt:lpstr>
      <vt:lpstr>Risk HeatMap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61424</dc:creator>
  <cp:lastModifiedBy>61424</cp:lastModifiedBy>
  <dcterms:created xsi:type="dcterms:W3CDTF">2026-03-09T01:59:53Z</dcterms:created>
  <dcterms:modified xsi:type="dcterms:W3CDTF">2026-03-09T03:44:36Z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C42EF200391E4FC2AAA65F52F166DCD0_11</vt:lpwstr>
  </property>
  <property fmtid="{D5CDD505-2E9C-101B-9397-08002B2CF9AE}" pid="3" name="KSOProductBuildVer">
    <vt:lpwstr>1033-12.2.0.23196</vt:lpwstr>
  </property>
</Properties>
</file>